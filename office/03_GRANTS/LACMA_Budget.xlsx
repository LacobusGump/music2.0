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<sst xmlns="http://schemas.openxmlformats.org/spreadsheetml/2006/main" count="95" uniqueCount="94">
  <si>
    <t xml:space="preserve">GUMP: Body Enabled Grand Unified Music Project</t>
  </si>
  <si>
    <t xml:space="preserve">2026 Art + Technology Lab Grant — Detailed Project Budget</t>
  </si>
  <si>
    <t xml:space="preserve">Line Item</t>
  </si>
  <si>
    <t xml:space="preserve">Description / Rationale</t>
  </si>
  <si>
    <t xml:space="preserve">Unit Cost</t>
  </si>
  <si>
    <t xml:space="preserve">Qty / Mo.</t>
  </si>
  <si>
    <t xml:space="preserve">Total</t>
  </si>
  <si>
    <t xml:space="preserve">Notes</t>
  </si>
  <si>
    <t xml:space="preserve">  ARTIST FEES &amp; LIVING STIPEND</t>
  </si>
  <si>
    <t xml:space="preserve">  Principal Artist Stipend</t>
  </si>
  <si>
    <t xml:space="preserve">Monthly living stipend — enables full-time focus on GUMP</t>
  </si>
  <si>
    <t xml:space="preserve">Replaces lost income; allows artist to work without secondary employment. Year 1: intensive build. Year 2: demo &amp; document.</t>
  </si>
  <si>
    <t xml:space="preserve">  DEVELOPMENT HARDWARE</t>
  </si>
  <si>
    <t xml:space="preserve">  M4 MacBook Pro 16"</t>
  </si>
  <si>
    <t xml:space="preserve">Primary development machine</t>
  </si>
  <si>
    <t xml:space="preserve">M4 chip required for low-latency real-time audio/sensor processing at development speed.</t>
  </si>
  <si>
    <t xml:space="preserve">  M4 Mac Mini</t>
  </si>
  <si>
    <t xml:space="preserve">Dedicated local server / headless build machine</t>
  </si>
  <si>
    <t xml:space="preserve">Always-on build server; offloads compilation from primary machine.</t>
  </si>
  <si>
    <t xml:space="preserve">  Android Test Devices</t>
  </si>
  <si>
    <t xml:space="preserve">2 phones + 1 tablet for cross-device testing</t>
  </si>
  <si>
    <t xml:space="preserve">Required for Milestone 1: expand device support to Android/tablets.</t>
  </si>
  <si>
    <t xml:space="preserve">  CLOUD INFRASTRUCTURE (SERVERS)</t>
  </si>
  <si>
    <t xml:space="preserve">  Cloud Hosting &amp; WebRTC Server</t>
  </si>
  <si>
    <t xml:space="preserve">Monthly server costs (AWS/Vercel + signaling server)</t>
  </si>
  <si>
    <t xml:space="preserve">Supports real-time P2P Music Outfits feature (Milestone 3) and GPS Music geolocation layer (Milestone 5).</t>
  </si>
  <si>
    <t xml:space="preserve">  AI DEVELOPMENT TOOLS</t>
  </si>
  <si>
    <t xml:space="preserve">  Claude Code Max Subscription</t>
  </si>
  <si>
    <t xml:space="preserve">AI coding assistant at maximum tier</t>
  </si>
  <si>
    <t xml:space="preserve">Core development tool for GUMP engine; Year 1 only (build phase). At max tier — GUMP's real-time music theory engine requires intensive AI-assisted iteration.</t>
  </si>
  <si>
    <t xml:space="preserve">  STUDIO &amp; WORKSPACE</t>
  </si>
  <si>
    <t xml:space="preserve">  Desk &amp; Ergonomic Setup</t>
  </si>
  <si>
    <t xml:space="preserve">Standing desk + chair for full-time studio workspace</t>
  </si>
  <si>
    <t xml:space="preserve">Home studio workspace for project duration.</t>
  </si>
  <si>
    <t xml:space="preserve">  Electricity Supplement</t>
  </si>
  <si>
    <t xml:space="preserve">Additional power costs for 24/7 development machines</t>
  </si>
  <si>
    <t xml:space="preserve">Running M4 Mac Mini server + MacBook continuously for 2 years.</t>
  </si>
  <si>
    <t xml:space="preserve">  COLLABORATOR FEES</t>
  </si>
  <si>
    <t xml:space="preserve">  Victor De la Garza — Therapeutic Testing</t>
  </si>
  <si>
    <t xml:space="preserve">6 formal testing sessions at Musicamente NYC</t>
  </si>
  <si>
    <t xml:space="preserve">Music educator &amp; drummer. Formal therapeutic testing with special needs populations (Milestone 2). In-kind contributions beyond these sessions.</t>
  </si>
  <si>
    <t xml:space="preserve">  PUBLIC ENGAGEMENT &amp; DEMONSTRATIONS</t>
  </si>
  <si>
    <t xml:space="preserve">  Silent Disco Walk — First Demo</t>
  </si>
  <si>
    <t xml:space="preserve">Equipment rental, logistics, coordination</t>
  </si>
  <si>
    <t xml:space="preserve">Spring 2027. Public participatory music walk; audience performs with phones. No instructions — just movement.</t>
  </si>
  <si>
    <t xml:space="preserve">  LACMA Mid-Term Symposium Travel</t>
  </si>
  <si>
    <t xml:space="preserve">Travel + accommodation for Biennial Symposium presentation</t>
  </si>
  <si>
    <t xml:space="preserve">Summer 2027. Mid-grant milestone presentation to LACMA.</t>
  </si>
  <si>
    <t xml:space="preserve">  LACMA Campus Installation Materials</t>
  </si>
  <si>
    <t xml:space="preserve">Materials for GPS Music geolocation installation</t>
  </si>
  <si>
    <t xml:space="preserve">Fall 2027. On-site installation on LACMA grounds; site-specific GPS-triggered soundscapes.</t>
  </si>
  <si>
    <t xml:space="preserve">  LACMA Final Demo Day</t>
  </si>
  <si>
    <t xml:space="preserve">Final documentation, presentation materials, Demo Day</t>
  </si>
  <si>
    <t xml:space="preserve">Fall 2028. Final public presentation and project closeout.</t>
  </si>
  <si>
    <t xml:space="preserve">  DOCUMENTATION &amp; PUBLISHING</t>
  </si>
  <si>
    <t xml:space="preserve">  Video Documentation</t>
  </si>
  <si>
    <t xml:space="preserve">Professional filming + editing of demos and therapy sessions</t>
  </si>
  <si>
    <t xml:space="preserve">Captures Silent Disco Walk, LACMA installation, and therapeutic sessions for public record and open-source archive.</t>
  </si>
  <si>
    <t xml:space="preserve">  Open-Source Publishing &amp; Materials</t>
  </si>
  <si>
    <t xml:space="preserve">Hosting, website, protocol documentation</t>
  </si>
  <si>
    <t xml:space="preserve">Open-sourcing Music Outfits protocol (Milestone 6) and publishing therapeutic findings.</t>
  </si>
  <si>
    <t xml:space="preserve">  CONTINGENCY (reserve)</t>
  </si>
  <si>
    <t xml:space="preserve">  Contingency Reserve</t>
  </si>
  <si>
    <t xml:space="preserve">Unforeseen project costs</t>
  </si>
  <si>
    <t xml:space="preserve">~1.4% of total budget.</t>
  </si>
  <si>
    <t xml:space="preserve">TOTAL AMOUNT REQUESTED</t>
  </si>
  <si>
    <t xml:space="preserve">BUDGET BY PROJECT PHASE</t>
  </si>
  <si>
    <t xml:space="preserve">Year 1 — Build Phase  (Fall 2026 – Summer 2027)</t>
  </si>
  <si>
    <t xml:space="preserve">Milestones 1–4</t>
  </si>
  <si>
    <t xml:space="preserve">$34,000</t>
  </si>
  <si>
    <t xml:space="preserve">   Stabilize core engine + Android/tablet expansion</t>
  </si>
  <si>
    <t xml:space="preserve">Milestone 1 · Fall 2026</t>
  </si>
  <si>
    <t xml:space="preserve">$13,000</t>
  </si>
  <si>
    <t xml:space="preserve">   Therapeutic testing with Musicamente NYC</t>
  </si>
  <si>
    <t xml:space="preserve">Milestone 2 · Winter 2027</t>
  </si>
  <si>
    <t xml:space="preserve">$3,500</t>
  </si>
  <si>
    <t xml:space="preserve">   Music Outfits P2P + first Silent Disco Walk</t>
  </si>
  <si>
    <t xml:space="preserve">Milestone 3 · Spring 2027</t>
  </si>
  <si>
    <t xml:space="preserve">$14,000</t>
  </si>
  <si>
    <t xml:space="preserve">   LACMA Biennial Symposium mid-term presentation</t>
  </si>
  <si>
    <t xml:space="preserve">Milestone 4 · Summer 2027</t>
  </si>
  <si>
    <t xml:space="preserve">$4,000</t>
  </si>
  <si>
    <t xml:space="preserve">Year 2 — Demonstrate &amp; Document  (Fall 2027 – Fall 2028)</t>
  </si>
  <si>
    <t xml:space="preserve">Milestones 5–7</t>
  </si>
  <si>
    <t xml:space="preserve">$16,000</t>
  </si>
  <si>
    <t xml:space="preserve">   GPS Music geolocation layer + LACMA installation</t>
  </si>
  <si>
    <t xml:space="preserve">Milestone 5 · Fall 2027</t>
  </si>
  <si>
    <t xml:space="preserve">$5,500</t>
  </si>
  <si>
    <t xml:space="preserve">   Publish therapeutic findings; open-source protocol</t>
  </si>
  <si>
    <t xml:space="preserve">Milestone 6 · Spring 2028</t>
  </si>
  <si>
    <t xml:space="preserve">   LACMA Demo Day + final documentation</t>
  </si>
  <si>
    <t xml:space="preserve">Milestone 7 · Fall 2028</t>
  </si>
  <si>
    <t xml:space="preserve">$6,500</t>
  </si>
  <si>
    <t xml:space="preserve">Blue values = hardcoded inputs (adjustable).  Black values = calculated by formula.  Budget prepared March 2026.  Artist fee covers full-time project dedication over 24 months.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</si>
</sst>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D1D5D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9CA3A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374151"/>
        <bgColor rgb="FF1F2937"/>
      </patternFill>
    </fill>
    <fill>
      <patternFill patternType="solid">
        <fgColor rgb="FFF9FAFB"/>
        <bgColor rgb="FFFFFFFF"/>
      </patternFill>
    </fill>
    <fill>
      <patternFill patternType="solid">
        <fgColor rgb="FFFFFFFF"/>
        <bgColor rgb="FFF9FAFB"/>
      </patternFill>
    </fill>
    <fill>
      <patternFill patternType="solid">
        <fgColor rgb="FFE0E7FF"/>
        <bgColor rgb="FFD1D5DB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6366F1"/>
      </bottom>
      <diagonal/>
    </border>
    <border diagonalUp="false" diagonalDown="false">
      <left/>
      <right/>
      <top style="thin">
        <color rgb="FF6366F1"/>
      </top>
      <bottom style="thin">
        <color rgb="FF6366F1"/>
      </bottom>
      <diagonal/>
    </border>
    <border diagonalUp="false" diagonalDown="false">
      <left/>
      <right/>
      <top style="medium">
        <color rgb="FF6366F1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E0E7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366F1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5" min="3" style="0" width="14"/>
    <col collapsed="false" customWidth="true" hidden="false" outlineLevel="0" max="6" min="6" style="0" width="3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7.5" hidden="false" customHeight="true" outlineLevel="0" collapsed="false">
      <c r="A3" s="3"/>
      <c r="B3" s="3"/>
      <c r="C3" s="3"/>
      <c r="D3" s="3"/>
      <c r="E3" s="3"/>
      <c r="F3" s="3"/>
    </row>
    <row r="4" customFormat="false" ht="27.7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customFormat="false" ht="27.75" hidden="false" customHeight="true" outlineLevel="0" collapsed="false">
      <c r="A5" s="6" t="s">
        <v>8</v>
      </c>
      <c r="B5" s="6"/>
      <c r="C5" s="6"/>
      <c r="D5" s="6"/>
      <c r="E5" s="6"/>
      <c r="F5" s="6"/>
    </row>
    <row r="6" customFormat="false" ht="37.5" hidden="false" customHeight="true" outlineLevel="0" collapsed="false">
      <c r="A6" s="7" t="s">
        <v>9</v>
      </c>
      <c r="B6" s="8" t="s">
        <v>10</v>
      </c>
      <c r="C6" s="9" t="n">
        <v>1000</v>
      </c>
      <c r="D6" s="10" t="n">
        <v>24</v>
      </c>
      <c r="E6" s="11" t="n">
        <f aca="false">C6*D6</f>
        <v>24000</v>
      </c>
      <c r="F6" s="8" t="s">
        <v>11</v>
      </c>
    </row>
    <row r="7" customFormat="false" ht="27.75" hidden="false" customHeight="true" outlineLevel="0" collapsed="false">
      <c r="A7" s="6" t="s">
        <v>12</v>
      </c>
      <c r="B7" s="6"/>
      <c r="C7" s="6"/>
      <c r="D7" s="6"/>
      <c r="E7" s="6"/>
      <c r="F7" s="6"/>
    </row>
    <row r="8" customFormat="false" ht="37.5" hidden="false" customHeight="true" outlineLevel="0" collapsed="false">
      <c r="A8" s="12" t="s">
        <v>13</v>
      </c>
      <c r="B8" s="13" t="s">
        <v>14</v>
      </c>
      <c r="C8" s="14" t="n">
        <v>2500</v>
      </c>
      <c r="D8" s="15" t="n">
        <v>1</v>
      </c>
      <c r="E8" s="16" t="n">
        <f aca="false">C8*D8</f>
        <v>2500</v>
      </c>
      <c r="F8" s="13" t="s">
        <v>15</v>
      </c>
    </row>
    <row r="9" customFormat="false" ht="37.5" hidden="false" customHeight="true" outlineLevel="0" collapsed="false">
      <c r="A9" s="7" t="s">
        <v>16</v>
      </c>
      <c r="B9" s="8" t="s">
        <v>17</v>
      </c>
      <c r="C9" s="9" t="n">
        <v>800</v>
      </c>
      <c r="D9" s="10" t="n">
        <v>1</v>
      </c>
      <c r="E9" s="11" t="n">
        <f aca="false">C9*D9</f>
        <v>800</v>
      </c>
      <c r="F9" s="8" t="s">
        <v>18</v>
      </c>
    </row>
    <row r="10" customFormat="false" ht="37.5" hidden="false" customHeight="true" outlineLevel="0" collapsed="false">
      <c r="A10" s="12" t="s">
        <v>19</v>
      </c>
      <c r="B10" s="13" t="s">
        <v>20</v>
      </c>
      <c r="C10" s="14" t="n">
        <v>700</v>
      </c>
      <c r="D10" s="15" t="n">
        <v>1</v>
      </c>
      <c r="E10" s="16" t="n">
        <f aca="false">C10*D10</f>
        <v>700</v>
      </c>
      <c r="F10" s="13" t="s">
        <v>21</v>
      </c>
    </row>
    <row r="11" customFormat="false" ht="27.75" hidden="false" customHeight="true" outlineLevel="0" collapsed="false">
      <c r="A11" s="6" t="s">
        <v>22</v>
      </c>
      <c r="B11" s="6"/>
      <c r="C11" s="6"/>
      <c r="D11" s="6"/>
      <c r="E11" s="6"/>
      <c r="F11" s="6"/>
    </row>
    <row r="12" customFormat="false" ht="37.5" hidden="false" customHeight="true" outlineLevel="0" collapsed="false">
      <c r="A12" s="7" t="s">
        <v>23</v>
      </c>
      <c r="B12" s="8" t="s">
        <v>24</v>
      </c>
      <c r="C12" s="9" t="n">
        <v>200</v>
      </c>
      <c r="D12" s="10" t="n">
        <v>24</v>
      </c>
      <c r="E12" s="11" t="n">
        <f aca="false">C12*D12</f>
        <v>4800</v>
      </c>
      <c r="F12" s="8" t="s">
        <v>25</v>
      </c>
    </row>
    <row r="13" customFormat="false" ht="27.75" hidden="false" customHeight="true" outlineLevel="0" collapsed="false">
      <c r="A13" s="6" t="s">
        <v>26</v>
      </c>
      <c r="B13" s="6"/>
      <c r="C13" s="6"/>
      <c r="D13" s="6"/>
      <c r="E13" s="6"/>
      <c r="F13" s="6"/>
    </row>
    <row r="14" customFormat="false" ht="37.5" hidden="false" customHeight="true" outlineLevel="0" collapsed="false">
      <c r="A14" s="12" t="s">
        <v>27</v>
      </c>
      <c r="B14" s="13" t="s">
        <v>28</v>
      </c>
      <c r="C14" s="14" t="n">
        <v>250</v>
      </c>
      <c r="D14" s="15" t="n">
        <v>12</v>
      </c>
      <c r="E14" s="16" t="n">
        <f aca="false">C14*D14</f>
        <v>3000</v>
      </c>
      <c r="F14" s="13" t="s">
        <v>29</v>
      </c>
    </row>
    <row r="15" customFormat="false" ht="27.75" hidden="false" customHeight="true" outlineLevel="0" collapsed="false">
      <c r="A15" s="6" t="s">
        <v>30</v>
      </c>
      <c r="B15" s="6"/>
      <c r="C15" s="6"/>
      <c r="D15" s="6"/>
      <c r="E15" s="6"/>
      <c r="F15" s="6"/>
    </row>
    <row r="16" customFormat="false" ht="37.5" hidden="false" customHeight="true" outlineLevel="0" collapsed="false">
      <c r="A16" s="7" t="s">
        <v>31</v>
      </c>
      <c r="B16" s="8" t="s">
        <v>32</v>
      </c>
      <c r="C16" s="9" t="n">
        <v>700</v>
      </c>
      <c r="D16" s="10" t="n">
        <v>1</v>
      </c>
      <c r="E16" s="11" t="n">
        <f aca="false">C16*D16</f>
        <v>700</v>
      </c>
      <c r="F16" s="8" t="s">
        <v>33</v>
      </c>
    </row>
    <row r="17" customFormat="false" ht="37.5" hidden="false" customHeight="true" outlineLevel="0" collapsed="false">
      <c r="A17" s="12" t="s">
        <v>34</v>
      </c>
      <c r="B17" s="13" t="s">
        <v>35</v>
      </c>
      <c r="C17" s="14" t="n">
        <v>75</v>
      </c>
      <c r="D17" s="15" t="n">
        <v>24</v>
      </c>
      <c r="E17" s="16" t="n">
        <f aca="false">C17*D17</f>
        <v>1800</v>
      </c>
      <c r="F17" s="13" t="s">
        <v>36</v>
      </c>
    </row>
    <row r="18" customFormat="false" ht="27.75" hidden="false" customHeight="true" outlineLevel="0" collapsed="false">
      <c r="A18" s="6" t="s">
        <v>37</v>
      </c>
      <c r="B18" s="6"/>
      <c r="C18" s="6"/>
      <c r="D18" s="6"/>
      <c r="E18" s="6"/>
      <c r="F18" s="6"/>
    </row>
    <row r="19" customFormat="false" ht="37.5" hidden="false" customHeight="true" outlineLevel="0" collapsed="false">
      <c r="A19" s="7" t="s">
        <v>38</v>
      </c>
      <c r="B19" s="8" t="s">
        <v>39</v>
      </c>
      <c r="C19" s="9" t="n">
        <v>500</v>
      </c>
      <c r="D19" s="10" t="n">
        <v>6</v>
      </c>
      <c r="E19" s="11" t="n">
        <f aca="false">C19*D19</f>
        <v>3000</v>
      </c>
      <c r="F19" s="8" t="s">
        <v>40</v>
      </c>
    </row>
    <row r="20" customFormat="false" ht="27.75" hidden="false" customHeight="true" outlineLevel="0" collapsed="false">
      <c r="A20" s="6" t="s">
        <v>41</v>
      </c>
      <c r="B20" s="6"/>
      <c r="C20" s="6"/>
      <c r="D20" s="6"/>
      <c r="E20" s="6"/>
      <c r="F20" s="6"/>
    </row>
    <row r="21" customFormat="false" ht="37.5" hidden="false" customHeight="true" outlineLevel="0" collapsed="false">
      <c r="A21" s="12" t="s">
        <v>42</v>
      </c>
      <c r="B21" s="13" t="s">
        <v>43</v>
      </c>
      <c r="C21" s="14" t="n">
        <v>2000</v>
      </c>
      <c r="D21" s="15" t="n">
        <v>1</v>
      </c>
      <c r="E21" s="16" t="n">
        <f aca="false">C21*D21</f>
        <v>2000</v>
      </c>
      <c r="F21" s="13" t="s">
        <v>44</v>
      </c>
    </row>
    <row r="22" customFormat="false" ht="37.5" hidden="false" customHeight="true" outlineLevel="0" collapsed="false">
      <c r="A22" s="7" t="s">
        <v>45</v>
      </c>
      <c r="B22" s="8" t="s">
        <v>46</v>
      </c>
      <c r="C22" s="9" t="n">
        <v>1500</v>
      </c>
      <c r="D22" s="10" t="n">
        <v>1</v>
      </c>
      <c r="E22" s="11" t="n">
        <f aca="false">C22*D22</f>
        <v>1500</v>
      </c>
      <c r="F22" s="8" t="s">
        <v>47</v>
      </c>
    </row>
    <row r="23" customFormat="false" ht="37.5" hidden="false" customHeight="true" outlineLevel="0" collapsed="false">
      <c r="A23" s="12" t="s">
        <v>48</v>
      </c>
      <c r="B23" s="13" t="s">
        <v>49</v>
      </c>
      <c r="C23" s="14" t="n">
        <v>1500</v>
      </c>
      <c r="D23" s="15" t="n">
        <v>1</v>
      </c>
      <c r="E23" s="16" t="n">
        <f aca="false">C23*D23</f>
        <v>1500</v>
      </c>
      <c r="F23" s="13" t="s">
        <v>50</v>
      </c>
    </row>
    <row r="24" customFormat="false" ht="37.5" hidden="false" customHeight="true" outlineLevel="0" collapsed="false">
      <c r="A24" s="7" t="s">
        <v>51</v>
      </c>
      <c r="B24" s="8" t="s">
        <v>52</v>
      </c>
      <c r="C24" s="9" t="n">
        <v>1000</v>
      </c>
      <c r="D24" s="10" t="n">
        <v>1</v>
      </c>
      <c r="E24" s="11" t="n">
        <f aca="false">C24*D24</f>
        <v>1000</v>
      </c>
      <c r="F24" s="8" t="s">
        <v>53</v>
      </c>
    </row>
    <row r="25" customFormat="false" ht="27.75" hidden="false" customHeight="true" outlineLevel="0" collapsed="false">
      <c r="A25" s="6" t="s">
        <v>54</v>
      </c>
      <c r="B25" s="6"/>
      <c r="C25" s="6"/>
      <c r="D25" s="6"/>
      <c r="E25" s="6"/>
      <c r="F25" s="6"/>
    </row>
    <row r="26" customFormat="false" ht="37.5" hidden="false" customHeight="true" outlineLevel="0" collapsed="false">
      <c r="A26" s="12" t="s">
        <v>55</v>
      </c>
      <c r="B26" s="13" t="s">
        <v>56</v>
      </c>
      <c r="C26" s="14" t="n">
        <v>1500</v>
      </c>
      <c r="D26" s="15" t="n">
        <v>1</v>
      </c>
      <c r="E26" s="16" t="n">
        <f aca="false">C26*D26</f>
        <v>1500</v>
      </c>
      <c r="F26" s="13" t="s">
        <v>57</v>
      </c>
    </row>
    <row r="27" customFormat="false" ht="37.5" hidden="false" customHeight="true" outlineLevel="0" collapsed="false">
      <c r="A27" s="7" t="s">
        <v>58</v>
      </c>
      <c r="B27" s="8" t="s">
        <v>59</v>
      </c>
      <c r="C27" s="9" t="n">
        <v>500</v>
      </c>
      <c r="D27" s="10" t="n">
        <v>1</v>
      </c>
      <c r="E27" s="11" t="n">
        <f aca="false">C27*D27</f>
        <v>500</v>
      </c>
      <c r="F27" s="8" t="s">
        <v>60</v>
      </c>
    </row>
    <row r="28" customFormat="false" ht="27.75" hidden="false" customHeight="true" outlineLevel="0" collapsed="false">
      <c r="A28" s="6" t="s">
        <v>61</v>
      </c>
      <c r="B28" s="6"/>
      <c r="C28" s="6"/>
      <c r="D28" s="6"/>
      <c r="E28" s="6"/>
      <c r="F28" s="6"/>
    </row>
    <row r="29" customFormat="false" ht="37.5" hidden="false" customHeight="true" outlineLevel="0" collapsed="false">
      <c r="A29" s="12" t="s">
        <v>62</v>
      </c>
      <c r="B29" s="13" t="s">
        <v>63</v>
      </c>
      <c r="C29" s="14" t="n">
        <v>700</v>
      </c>
      <c r="D29" s="15" t="n">
        <v>1</v>
      </c>
      <c r="E29" s="16" t="n">
        <f aca="false">C29*D29</f>
        <v>700</v>
      </c>
      <c r="F29" s="13" t="s">
        <v>64</v>
      </c>
    </row>
    <row r="30" customFormat="false" ht="7.5" hidden="false" customHeight="true" outlineLevel="0" collapsed="false"/>
    <row r="31" customFormat="false" ht="31.5" hidden="false" customHeight="true" outlineLevel="0" collapsed="false">
      <c r="A31" s="17" t="s">
        <v>65</v>
      </c>
      <c r="B31" s="17"/>
      <c r="C31" s="17"/>
      <c r="D31" s="17"/>
      <c r="E31" s="18" t="n">
        <f aca="false">SUM(E6+E8+E9+E10+E12+E14+E16+E17+E19+E21+E22+E23+E24+E26+E27+E29)</f>
        <v>50000</v>
      </c>
      <c r="F31" s="19"/>
    </row>
    <row r="33" customFormat="false" ht="24" hidden="false" customHeight="true" outlineLevel="0" collapsed="false">
      <c r="A33" s="20" t="s">
        <v>66</v>
      </c>
      <c r="B33" s="20"/>
      <c r="C33" s="20"/>
      <c r="D33" s="20"/>
      <c r="E33" s="20"/>
      <c r="F33" s="20"/>
    </row>
    <row r="34" customFormat="false" ht="19.5" hidden="false" customHeight="true" outlineLevel="0" collapsed="false">
      <c r="A34" s="21" t="s">
        <v>67</v>
      </c>
      <c r="B34" s="22" t="s">
        <v>68</v>
      </c>
      <c r="C34" s="23" t="s">
        <v>69</v>
      </c>
      <c r="D34" s="24"/>
      <c r="E34" s="24"/>
      <c r="F34" s="24"/>
    </row>
    <row r="35" customFormat="false" ht="19.5" hidden="false" customHeight="true" outlineLevel="0" collapsed="false">
      <c r="A35" s="25" t="s">
        <v>70</v>
      </c>
      <c r="B35" s="26" t="s">
        <v>71</v>
      </c>
      <c r="C35" s="27" t="s">
        <v>72</v>
      </c>
    </row>
    <row r="36" customFormat="false" ht="19.5" hidden="false" customHeight="true" outlineLevel="0" collapsed="false">
      <c r="A36" s="25" t="s">
        <v>73</v>
      </c>
      <c r="B36" s="26" t="s">
        <v>74</v>
      </c>
      <c r="C36" s="27" t="s">
        <v>75</v>
      </c>
    </row>
    <row r="37" customFormat="false" ht="19.5" hidden="false" customHeight="true" outlineLevel="0" collapsed="false">
      <c r="A37" s="25" t="s">
        <v>76</v>
      </c>
      <c r="B37" s="26" t="s">
        <v>77</v>
      </c>
      <c r="C37" s="27" t="s">
        <v>78</v>
      </c>
    </row>
    <row r="38" customFormat="false" ht="19.5" hidden="false" customHeight="true" outlineLevel="0" collapsed="false">
      <c r="A38" s="25" t="s">
        <v>79</v>
      </c>
      <c r="B38" s="26" t="s">
        <v>80</v>
      </c>
      <c r="C38" s="27" t="s">
        <v>81</v>
      </c>
    </row>
    <row r="39" customFormat="false" ht="19.5" hidden="false" customHeight="true" outlineLevel="0" collapsed="false">
      <c r="A39" s="25"/>
      <c r="B39" s="26"/>
      <c r="C39" s="27"/>
    </row>
    <row r="40" customFormat="false" ht="19.5" hidden="false" customHeight="true" outlineLevel="0" collapsed="false">
      <c r="A40" s="21" t="s">
        <v>82</v>
      </c>
      <c r="B40" s="22" t="s">
        <v>83</v>
      </c>
      <c r="C40" s="23" t="s">
        <v>84</v>
      </c>
      <c r="D40" s="24"/>
      <c r="E40" s="24"/>
      <c r="F40" s="24"/>
    </row>
    <row r="41" customFormat="false" ht="19.5" hidden="false" customHeight="true" outlineLevel="0" collapsed="false">
      <c r="A41" s="25" t="s">
        <v>85</v>
      </c>
      <c r="B41" s="26" t="s">
        <v>86</v>
      </c>
      <c r="C41" s="27" t="s">
        <v>87</v>
      </c>
    </row>
    <row r="42" customFormat="false" ht="19.5" hidden="false" customHeight="true" outlineLevel="0" collapsed="false">
      <c r="A42" s="25" t="s">
        <v>88</v>
      </c>
      <c r="B42" s="26" t="s">
        <v>89</v>
      </c>
      <c r="C42" s="27" t="s">
        <v>81</v>
      </c>
    </row>
    <row r="43" customFormat="false" ht="19.5" hidden="false" customHeight="true" outlineLevel="0" collapsed="false">
      <c r="A43" s="25" t="s">
        <v>90</v>
      </c>
      <c r="B43" s="26" t="s">
        <v>91</v>
      </c>
      <c r="C43" s="27" t="s">
        <v>92</v>
      </c>
    </row>
    <row r="45" customFormat="false" ht="21.75" hidden="false" customHeight="true" outlineLevel="0" collapsed="false">
      <c r="A45" s="28" t="s">
        <v>93</v>
      </c>
      <c r="B45" s="28"/>
      <c r="C45" s="28"/>
      <c r="D45" s="28"/>
      <c r="E45" s="28"/>
      <c r="F45" s="28"/>
    </row>
  </sheetData>
  <mergeCells count="15">
    <mergeCell ref="A1:F1"/>
    <mergeCell ref="A2:F2"/>
    <mergeCell ref="A3:F3"/>
    <mergeCell ref="A5:F5"/>
    <mergeCell ref="A7:F7"/>
    <mergeCell ref="A11:F11"/>
    <mergeCell ref="A13:F13"/>
    <mergeCell ref="A15:F15"/>
    <mergeCell ref="A18:F18"/>
    <mergeCell ref="A20:F20"/>
    <mergeCell ref="A25:F25"/>
    <mergeCell ref="A28:F28"/>
    <mergeCell ref="A31:D31"/>
    <mergeCell ref="A33:F33"/>
    <mergeCell ref="A45:F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2026-03-19T12:59:29Z</dcterms:created>
  <dc:creator>openpyxl</dc:creator>
  <dc:description/>
  <dc:language>en-US</dc:language>
  <cp:lastModifiedBy/>
  <dcterms:modified xsi:type="dcterms:W3CDTF">2026-03-19T12:59:29Z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